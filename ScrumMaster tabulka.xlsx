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" sheetId="1" r:id="rId5"/>
  </sheets>
  <definedNames/>
  <calcPr/>
</workbook>
</file>

<file path=xl/sharedStrings.xml><?xml version="1.0" encoding="utf-8"?>
<sst xmlns="http://schemas.openxmlformats.org/spreadsheetml/2006/main" count="120" uniqueCount="88">
  <si>
    <t>ID požadavku</t>
  </si>
  <si>
    <t>Úkoly (Co se dělalo)</t>
  </si>
  <si>
    <t>Řešitel</t>
  </si>
  <si>
    <t>Odhad času (h)</t>
  </si>
  <si>
    <t>Skutečný čas (h)</t>
  </si>
  <si>
    <t>Stav</t>
  </si>
  <si>
    <t>Mzdy a zaměstnanecké výdaje</t>
  </si>
  <si>
    <t>REQ-001</t>
  </si>
  <si>
    <t>Návrh architektury aplikace</t>
  </si>
  <si>
    <t>Křivka, Prokš</t>
  </si>
  <si>
    <t>Hotovo</t>
  </si>
  <si>
    <t>Role</t>
  </si>
  <si>
    <t>Jméno</t>
  </si>
  <si>
    <t>Odpracováno člověkohodin</t>
  </si>
  <si>
    <t>Sazba /h</t>
  </si>
  <si>
    <t>Celkem</t>
  </si>
  <si>
    <t>REQ-002</t>
  </si>
  <si>
    <t>Vývoj backend logiky (dočasně převzato po Křivkovi)</t>
  </si>
  <si>
    <t>Hašek (Křivka)</t>
  </si>
  <si>
    <t>Selhalo</t>
  </si>
  <si>
    <t>Designer / FE</t>
  </si>
  <si>
    <t>Prokš M.</t>
  </si>
  <si>
    <t>REQ-003</t>
  </si>
  <si>
    <t>Dopracování "nemocenských" hodin (backend)</t>
  </si>
  <si>
    <t>Křivka</t>
  </si>
  <si>
    <t>Dokumentarista</t>
  </si>
  <si>
    <t>Pospíšilová Z.</t>
  </si>
  <si>
    <t>REQ-004</t>
  </si>
  <si>
    <t>Práce na backendu</t>
  </si>
  <si>
    <t>Křivka V.</t>
  </si>
  <si>
    <t>Sysadmin</t>
  </si>
  <si>
    <t>Kopecký T.</t>
  </si>
  <si>
    <t>REQ-005</t>
  </si>
  <si>
    <t>Návrh databáze a API komunikace</t>
  </si>
  <si>
    <t>Prokš</t>
  </si>
  <si>
    <t>Backend</t>
  </si>
  <si>
    <t>REQ-006</t>
  </si>
  <si>
    <t>Design frontendu, UI a grafika</t>
  </si>
  <si>
    <t>Celkem za práci</t>
  </si>
  <si>
    <t>REQ-007</t>
  </si>
  <si>
    <t>Nákup a konfigurace VPS</t>
  </si>
  <si>
    <t>Kopecký</t>
  </si>
  <si>
    <t>REQ-008</t>
  </si>
  <si>
    <t>Deployment, nastavení logů a běh serveru</t>
  </si>
  <si>
    <t>REQ-009</t>
  </si>
  <si>
    <t>Správa systému</t>
  </si>
  <si>
    <t>Dlouhodobá činnost</t>
  </si>
  <si>
    <t>Finanční výdaje na provoz stránky</t>
  </si>
  <si>
    <t>REQ-010</t>
  </si>
  <si>
    <t>Nasazování na VPS</t>
  </si>
  <si>
    <t>Položka</t>
  </si>
  <si>
    <t>Typ platby</t>
  </si>
  <si>
    <t>Cena (Kč)</t>
  </si>
  <si>
    <t>REQ-011</t>
  </si>
  <si>
    <t>Nastavení HTTPS</t>
  </si>
  <si>
    <t>VPS Hosting</t>
  </si>
  <si>
    <t>Měsíční paušál</t>
  </si>
  <si>
    <t>REQ-012</t>
  </si>
  <si>
    <t>Vedení týmu a řešení potíží</t>
  </si>
  <si>
    <t>Hašek T.</t>
  </si>
  <si>
    <t>Doména</t>
  </si>
  <si>
    <t>Zdarma</t>
  </si>
  <si>
    <t>REQ-013</t>
  </si>
  <si>
    <t>Kázenšké řízení s Václavem Křivkou</t>
  </si>
  <si>
    <t>0.5h</t>
  </si>
  <si>
    <t>0.5</t>
  </si>
  <si>
    <t>Celkem za provoz</t>
  </si>
  <si>
    <t>REQ-014</t>
  </si>
  <si>
    <t>Zaznamenávání činností vykonaných týmem</t>
  </si>
  <si>
    <t>REQ-015</t>
  </si>
  <si>
    <t>Vytvoření loga</t>
  </si>
  <si>
    <t>Další Sprint</t>
  </si>
  <si>
    <t>REQ-016</t>
  </si>
  <si>
    <t>První verze projektové dokumentace</t>
  </si>
  <si>
    <t>Pospíšilová</t>
  </si>
  <si>
    <t>Následující úkoly</t>
  </si>
  <si>
    <t>Odpovědnost</t>
  </si>
  <si>
    <t>Termín</t>
  </si>
  <si>
    <t>REQ-017</t>
  </si>
  <si>
    <t>Úpravy dokumentace podle změn</t>
  </si>
  <si>
    <t>Prezentace zákazníkovi (učitelům)</t>
  </si>
  <si>
    <t>Celý tým</t>
  </si>
  <si>
    <t>Čeká na zahájení</t>
  </si>
  <si>
    <t>REQ-018</t>
  </si>
  <si>
    <t>Tvorba plakátu</t>
  </si>
  <si>
    <t>Údržba a správa aplikace</t>
  </si>
  <si>
    <t>Křivka, Prokš, Kopecký, Hašek</t>
  </si>
  <si>
    <t>Probíhá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</si>
</sst>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"/>
  </numFmts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sz val="13.0"/>
      <color rgb="FF1F1F1F"/>
      <name val="&quot;Google Sans Text&quot;"/>
    </font>
    <font>
      <sz val="13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51.88"/>
    <col customWidth="1" min="3" max="3" width="23.88"/>
    <col customWidth="1" min="4" max="4" width="21.38"/>
    <col customWidth="1" min="5" max="5" width="19.25"/>
    <col customWidth="1" min="6" max="6" width="14.0"/>
    <col customWidth="1" min="7" max="7" width="26.38"/>
    <col customWidth="1" min="8" max="8" width="33.88"/>
    <col customWidth="1" min="9" max="9" width="25.0"/>
    <col customWidth="1" min="10" max="10" width="30.63"/>
    <col customWidth="1" min="11" max="11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>
      <c r="A2" s="2" t="s">
        <v>7</v>
      </c>
      <c r="B2" s="2" t="s">
        <v>8</v>
      </c>
      <c r="C2" s="2" t="s">
        <v>9</v>
      </c>
      <c r="D2" s="2">
        <v>3.0</v>
      </c>
      <c r="E2" s="2">
        <v>3.0</v>
      </c>
      <c r="F2" s="2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</row>
    <row r="3">
      <c r="A3" s="2" t="s">
        <v>16</v>
      </c>
      <c r="B3" s="2" t="s">
        <v>17</v>
      </c>
      <c r="C3" s="2" t="s">
        <v>18</v>
      </c>
      <c r="D3" s="2">
        <v>3.0</v>
      </c>
      <c r="E3" s="2">
        <v>3.0</v>
      </c>
      <c r="F3" s="2" t="s">
        <v>19</v>
      </c>
      <c r="H3" s="2" t="s">
        <v>20</v>
      </c>
      <c r="I3" s="2" t="s">
        <v>21</v>
      </c>
      <c r="J3" s="2">
        <v>30.0</v>
      </c>
      <c r="K3" s="2">
        <v>1200.0</v>
      </c>
      <c r="L3" s="3">
        <f t="shared" ref="L3:L6" si="1">SUM(J3*K3)</f>
        <v>36000</v>
      </c>
    </row>
    <row r="4">
      <c r="A4" s="2" t="s">
        <v>22</v>
      </c>
      <c r="B4" s="2" t="s">
        <v>23</v>
      </c>
      <c r="C4" s="2" t="s">
        <v>24</v>
      </c>
      <c r="D4" s="2">
        <v>25.0</v>
      </c>
      <c r="E4" s="2">
        <v>33.0</v>
      </c>
      <c r="F4" s="2" t="s">
        <v>10</v>
      </c>
      <c r="H4" s="2" t="s">
        <v>25</v>
      </c>
      <c r="I4" s="2" t="s">
        <v>26</v>
      </c>
      <c r="J4" s="2">
        <v>12.0</v>
      </c>
      <c r="K4" s="2">
        <v>400.0</v>
      </c>
      <c r="L4" s="3">
        <f t="shared" si="1"/>
        <v>4800</v>
      </c>
    </row>
    <row r="5">
      <c r="A5" s="2" t="s">
        <v>27</v>
      </c>
      <c r="B5" s="2" t="s">
        <v>28</v>
      </c>
      <c r="C5" s="2" t="s">
        <v>29</v>
      </c>
      <c r="D5" s="2">
        <v>8.0</v>
      </c>
      <c r="E5" s="2">
        <v>10.0</v>
      </c>
      <c r="F5" s="2" t="s">
        <v>10</v>
      </c>
      <c r="H5" s="2" t="s">
        <v>30</v>
      </c>
      <c r="I5" s="2" t="s">
        <v>31</v>
      </c>
      <c r="J5" s="2">
        <v>32.0</v>
      </c>
      <c r="K5" s="2">
        <v>1200.0</v>
      </c>
      <c r="L5" s="3">
        <f t="shared" si="1"/>
        <v>38400</v>
      </c>
    </row>
    <row r="6">
      <c r="A6" s="2" t="s">
        <v>32</v>
      </c>
      <c r="B6" s="2" t="s">
        <v>33</v>
      </c>
      <c r="C6" s="2" t="s">
        <v>34</v>
      </c>
      <c r="D6" s="2">
        <v>2.0</v>
      </c>
      <c r="E6" s="2">
        <v>3.0</v>
      </c>
      <c r="F6" s="2" t="s">
        <v>10</v>
      </c>
      <c r="H6" s="2" t="s">
        <v>35</v>
      </c>
      <c r="I6" s="2" t="s">
        <v>29</v>
      </c>
      <c r="J6" s="2">
        <v>39.0</v>
      </c>
      <c r="K6" s="2">
        <v>134.0</v>
      </c>
      <c r="L6" s="3">
        <f t="shared" si="1"/>
        <v>5226</v>
      </c>
    </row>
    <row r="7">
      <c r="A7" s="2" t="s">
        <v>36</v>
      </c>
      <c r="B7" s="2" t="s">
        <v>37</v>
      </c>
      <c r="C7" s="2" t="s">
        <v>34</v>
      </c>
      <c r="D7" s="2">
        <v>22.0</v>
      </c>
      <c r="E7" s="2">
        <v>24.0</v>
      </c>
      <c r="F7" s="2" t="s">
        <v>10</v>
      </c>
      <c r="H7" s="2" t="s">
        <v>38</v>
      </c>
      <c r="L7" s="3">
        <f>SUM(L3:L6)</f>
        <v>84426</v>
      </c>
    </row>
    <row r="8">
      <c r="A8" s="2" t="s">
        <v>39</v>
      </c>
      <c r="B8" s="2" t="s">
        <v>40</v>
      </c>
      <c r="C8" s="2" t="s">
        <v>41</v>
      </c>
      <c r="D8" s="2">
        <v>3.0</v>
      </c>
      <c r="E8" s="2">
        <v>4.0</v>
      </c>
      <c r="F8" s="2" t="s">
        <v>10</v>
      </c>
      <c r="I8" s="3"/>
      <c r="J8" s="3"/>
      <c r="K8" s="3"/>
    </row>
    <row r="9">
      <c r="A9" s="2" t="s">
        <v>42</v>
      </c>
      <c r="B9" s="2" t="s">
        <v>43</v>
      </c>
      <c r="C9" s="2" t="s">
        <v>41</v>
      </c>
      <c r="D9" s="2">
        <v>4.0</v>
      </c>
      <c r="E9" s="2">
        <v>6.0</v>
      </c>
      <c r="F9" s="2" t="s">
        <v>10</v>
      </c>
      <c r="H9" s="2"/>
      <c r="I9" s="4"/>
    </row>
    <row r="10">
      <c r="A10" s="2" t="s">
        <v>44</v>
      </c>
      <c r="B10" s="2" t="s">
        <v>45</v>
      </c>
      <c r="C10" s="2" t="s">
        <v>41</v>
      </c>
      <c r="D10" s="2" t="s">
        <v>46</v>
      </c>
      <c r="E10" s="3"/>
      <c r="F10" s="2" t="s">
        <v>10</v>
      </c>
      <c r="H10" s="1" t="s">
        <v>47</v>
      </c>
    </row>
    <row r="11">
      <c r="A11" s="2" t="s">
        <v>48</v>
      </c>
      <c r="B11" s="2" t="s">
        <v>49</v>
      </c>
      <c r="C11" s="2" t="s">
        <v>31</v>
      </c>
      <c r="D11" s="2">
        <v>15.0</v>
      </c>
      <c r="E11" s="2">
        <v>20.0</v>
      </c>
      <c r="F11" s="2" t="s">
        <v>10</v>
      </c>
      <c r="H11" s="5" t="s">
        <v>50</v>
      </c>
      <c r="I11" s="5" t="s">
        <v>51</v>
      </c>
      <c r="J11" s="5" t="s">
        <v>52</v>
      </c>
    </row>
    <row r="12">
      <c r="A12" s="2" t="s">
        <v>53</v>
      </c>
      <c r="B12" s="2" t="s">
        <v>54</v>
      </c>
      <c r="C12" s="2" t="s">
        <v>31</v>
      </c>
      <c r="D12" s="2">
        <v>1.0</v>
      </c>
      <c r="E12" s="2">
        <v>2.0</v>
      </c>
      <c r="F12" s="2" t="s">
        <v>10</v>
      </c>
      <c r="H12" s="6" t="s">
        <v>55</v>
      </c>
      <c r="I12" s="6" t="s">
        <v>56</v>
      </c>
      <c r="J12" s="6">
        <v>80.0</v>
      </c>
    </row>
    <row r="13">
      <c r="A13" s="2" t="s">
        <v>57</v>
      </c>
      <c r="B13" s="2" t="s">
        <v>58</v>
      </c>
      <c r="C13" s="2" t="s">
        <v>59</v>
      </c>
      <c r="D13" s="2" t="s">
        <v>46</v>
      </c>
      <c r="E13" s="3"/>
      <c r="F13" s="2" t="s">
        <v>10</v>
      </c>
      <c r="H13" s="6" t="s">
        <v>60</v>
      </c>
      <c r="I13" s="6" t="s">
        <v>61</v>
      </c>
      <c r="J13" s="6">
        <v>0.0</v>
      </c>
    </row>
    <row r="14">
      <c r="A14" s="2" t="s">
        <v>62</v>
      </c>
      <c r="B14" s="2" t="s">
        <v>63</v>
      </c>
      <c r="C14" s="2" t="s">
        <v>59</v>
      </c>
      <c r="D14" s="2" t="s">
        <v>64</v>
      </c>
      <c r="E14" s="7" t="s">
        <v>65</v>
      </c>
      <c r="F14" s="2" t="s">
        <v>10</v>
      </c>
      <c r="H14" s="5" t="s">
        <v>66</v>
      </c>
      <c r="I14" s="6"/>
      <c r="J14" s="6">
        <f>SUM(J12+J13)</f>
        <v>80</v>
      </c>
    </row>
    <row r="15">
      <c r="A15" s="2" t="s">
        <v>67</v>
      </c>
      <c r="B15" s="2" t="s">
        <v>68</v>
      </c>
      <c r="C15" s="2" t="s">
        <v>59</v>
      </c>
      <c r="D15" s="2" t="s">
        <v>46</v>
      </c>
      <c r="E15" s="3"/>
      <c r="F15" s="2" t="s">
        <v>10</v>
      </c>
    </row>
    <row r="16">
      <c r="A16" s="2" t="s">
        <v>69</v>
      </c>
      <c r="B16" s="2" t="s">
        <v>70</v>
      </c>
      <c r="C16" s="2" t="s">
        <v>59</v>
      </c>
      <c r="D16" s="2" t="s">
        <v>65</v>
      </c>
      <c r="E16" s="2" t="s">
        <v>65</v>
      </c>
      <c r="F16" s="3"/>
      <c r="H16" s="1" t="s">
        <v>71</v>
      </c>
    </row>
    <row r="17">
      <c r="A17" s="2" t="s">
        <v>72</v>
      </c>
      <c r="B17" s="2" t="s">
        <v>73</v>
      </c>
      <c r="C17" s="2" t="s">
        <v>74</v>
      </c>
      <c r="D17" s="2">
        <v>2.0</v>
      </c>
      <c r="E17" s="2">
        <v>2.0</v>
      </c>
      <c r="F17" s="2" t="s">
        <v>10</v>
      </c>
      <c r="H17" s="1" t="s">
        <v>75</v>
      </c>
      <c r="I17" s="1" t="s">
        <v>76</v>
      </c>
      <c r="J17" s="1" t="s">
        <v>77</v>
      </c>
      <c r="K17" s="1" t="s">
        <v>5</v>
      </c>
    </row>
    <row r="18">
      <c r="A18" s="2" t="s">
        <v>78</v>
      </c>
      <c r="B18" s="2" t="s">
        <v>79</v>
      </c>
      <c r="C18" s="2" t="s">
        <v>74</v>
      </c>
      <c r="D18" s="2">
        <v>8.0</v>
      </c>
      <c r="E18" s="2">
        <v>8.0</v>
      </c>
      <c r="F18" s="2" t="s">
        <v>10</v>
      </c>
      <c r="H18" s="2" t="s">
        <v>80</v>
      </c>
      <c r="I18" s="4" t="s">
        <v>81</v>
      </c>
      <c r="J18" s="8">
        <v>46093.0</v>
      </c>
      <c r="K18" s="2" t="s">
        <v>82</v>
      </c>
    </row>
    <row r="19">
      <c r="A19" s="2" t="s">
        <v>83</v>
      </c>
      <c r="B19" s="2" t="s">
        <v>84</v>
      </c>
      <c r="C19" s="2" t="s">
        <v>74</v>
      </c>
      <c r="D19" s="2">
        <v>1.0</v>
      </c>
      <c r="E19" s="2">
        <v>1.0</v>
      </c>
      <c r="F19" s="2" t="s">
        <v>10</v>
      </c>
      <c r="H19" s="2" t="s">
        <v>85</v>
      </c>
      <c r="I19" s="4" t="s">
        <v>86</v>
      </c>
      <c r="J19" s="9" t="s">
        <v>46</v>
      </c>
      <c r="K19" s="2" t="s">
        <v>87</v>
      </c>
    </row>
    <row r="20">
      <c r="A20" s="2"/>
    </row>
    <row r="21">
      <c r="A21" s="2"/>
      <c r="H21" s="6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3"/>
    </row>
    <row r="42">
      <c r="A42" s="1"/>
    </row>
  </sheetData>
  <drawing r:id="rId1"/>
</worksheet>
</file>